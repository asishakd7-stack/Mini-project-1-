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Mini Project-1\"/>
    </mc:Choice>
  </mc:AlternateContent>
  <xr:revisionPtr revIDLastSave="0" documentId="13_ncr:1_{76F97FA0-0B9A-4BB6-B91B-6B836C3A0A7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7" i="2" l="1"/>
  <c r="J17" i="2" s="1"/>
  <c r="I16" i="2"/>
  <c r="J16" i="2" s="1"/>
  <c r="I15" i="2"/>
  <c r="J15" i="2" s="1"/>
  <c r="I9" i="2"/>
  <c r="J9" i="2" s="1"/>
  <c r="I8" i="2"/>
  <c r="J8" i="2" s="1"/>
  <c r="I7" i="2"/>
  <c r="J7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4" i="2"/>
  <c r="J14" i="2" s="1"/>
  <c r="I13" i="2"/>
  <c r="J13" i="2" s="1"/>
  <c r="I12" i="2"/>
  <c r="J12" i="2" s="1"/>
  <c r="I11" i="2"/>
  <c r="J11" i="2" s="1"/>
  <c r="I10" i="2"/>
  <c r="J10" i="2" s="1"/>
  <c r="I6" i="2"/>
  <c r="J6" i="2" l="1"/>
</calcChain>
</file>

<file path=xl/sharedStrings.xml><?xml version="1.0" encoding="utf-8"?>
<sst xmlns="http://schemas.openxmlformats.org/spreadsheetml/2006/main" count="213" uniqueCount="101">
  <si>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</si>
  <si>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</si>
  <si>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</si>
  <si>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</si>
  <si>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</si>
  <si>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</si>
  <si>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</si>
  <si>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</si>
  <si>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</si>
  <si>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</si>
  <si>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</si>
  <si>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</si>
  <si>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</si>
  <si>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</si>
  <si>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</si>
  <si>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</si>
  <si>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</si>
  <si>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</si>
  <si>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</si>
  <si>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</si>
  <si>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</si>
  <si>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</si>
  <si>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</si>
  <si>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</si>
  <si>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</si>
  <si>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</si>
  <si>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</si>
  <si>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</si>
  <si>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</si>
  <si>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</si>
  <si>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</si>
  <si>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</si>
  <si>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</si>
  <si>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</si>
  <si>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</si>
  <si>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</si>
  <si>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</si>
  <si>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</si>
  <si>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</si>
  <si>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</si>
  <si>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</si>
  <si>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</si>
  <si>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</si>
  <si>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</si>
  <si>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</si>
  <si>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</si>
  <si>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</si>
  <si>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</si>
  <si>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</si>
  <si>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</si>
  <si>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Medium</t>
  </si>
  <si>
    <t>5. GOOD PRACTICE</t>
  </si>
  <si>
    <t>Asish Kumar Dash</t>
  </si>
  <si>
    <t>MCA(2026-28)</t>
  </si>
  <si>
    <t>Neutral</t>
  </si>
  <si>
    <t>Satisfied</t>
  </si>
  <si>
    <t>High</t>
  </si>
  <si>
    <t>Excellent</t>
  </si>
  <si>
    <t>Low</t>
  </si>
  <si>
    <t>August-September</t>
  </si>
  <si>
    <t>Very Satisfied</t>
  </si>
  <si>
    <t>Stressed</t>
  </si>
  <si>
    <t>7 classes attended; room cleaning; fitness 26 min.</t>
  </si>
  <si>
    <t>No college; household cleaning and cooking; fitness 28 min.</t>
  </si>
  <si>
    <t>No college; prepared food and organized study space; fitness 42 min.</t>
  </si>
  <si>
    <t>4 classes attended; prepared breakfast and lunch; fitness 41 min.</t>
  </si>
  <si>
    <t>8 classes attended; grocery shopping; fitness 35 min.</t>
  </si>
  <si>
    <t>4 classes attended; helped with household chores; fitness 39 min.</t>
  </si>
  <si>
    <t>4 classes attended; cooked food and washed dishes; fitness 30 min.</t>
  </si>
  <si>
    <t>7 classes attended; cooked dinner; fitness 30 min.</t>
  </si>
  <si>
    <t>7 classes attended; cooked dinner and organized study space; fitness 50 min.</t>
  </si>
  <si>
    <t>3 classes attended; household chores; fitness 35 min.</t>
  </si>
  <si>
    <t>3 classes attended; cooked dinner; fitness 60 min.</t>
  </si>
  <si>
    <t>7 classes attended; grocery shopping; fitness 46 min.</t>
  </si>
  <si>
    <t>6 classes attended; laundry and room cleaning; fitness 45 min.</t>
  </si>
  <si>
    <t>3 classes attended; cooked meals and cleaned the room; fitness 30 min.</t>
  </si>
  <si>
    <t>7 classes attended; meal preparation; fitness 30 min.</t>
  </si>
  <si>
    <t>3 classes attended; laundry and prepared meals; fitness 31 min.</t>
  </si>
  <si>
    <t>7 classes attended; cooked dinner and cleaned room; fitness 45 min.</t>
  </si>
  <si>
    <t>No college; prepared food and organized study space; fitness 30 min.</t>
  </si>
  <si>
    <t>7 classes attended; cooked dinner and cleaned room; fitness 20 min.</t>
  </si>
  <si>
    <t>7 classes attended; grocery shopping; fitness 30 min.</t>
  </si>
  <si>
    <t>3 classes attended; cooked food and washed dishes; fitness 45 min.</t>
  </si>
  <si>
    <t>3 classes attended; room cleaning; fitness 45 min.</t>
  </si>
  <si>
    <t>No college; helped with household chores; fitness 30 min.</t>
  </si>
  <si>
    <t>No college; prepared meals; fitness 60 min.</t>
  </si>
  <si>
    <t>7 classes attended; laundry, groceries and meal preparation; fitness 50 min.</t>
  </si>
  <si>
    <t>7 classes attended; household cleaning and cooking; fitness 60 min.</t>
  </si>
  <si>
    <t>7 classes attended; laundry and kitchen work; fitness 60 min.</t>
  </si>
  <si>
    <t>3 classes attended; bought groceries; fitness 26 min.</t>
  </si>
  <si>
    <t>3 classes attended; cooked dinner and cleaned room; fitness 39 min.</t>
  </si>
  <si>
    <t>No college; household chores; fitness 31 min.</t>
  </si>
  <si>
    <t>No college; cooked dinner; fitness 45 min.</t>
  </si>
  <si>
    <t>7 classes attended; prepared food and organized study space; fitness 34 min.</t>
  </si>
  <si>
    <t>4 classes attended; cooked dinner; fitness 32 min.</t>
  </si>
  <si>
    <t>3 classes attended; cooked dinner; fitness 32 min.</t>
  </si>
  <si>
    <t>No college; household cleaning and cooking; fitness 30 min.</t>
  </si>
  <si>
    <t>No college; household cleaning and cooking; fitness 40 min.</t>
  </si>
  <si>
    <t>7 classes attended; meal preparation; fitness 25 min.</t>
  </si>
  <si>
    <t>No college; cooking; fitness 30 min.</t>
  </si>
  <si>
    <t>No college; household cleaning and cooking; fitness 39 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</si>
</sst>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="166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7"/>
  <sheetViews>
    <sheetView showGridLines="0" tabSelected="1" zoomScale="110" zoomScaleNormal="110" workbookViewId="0">
      <pane xSplit="1" ySplit="5" topLeftCell="B24" activePane="bottomRight" state="frozen"/>
      <selection pane="topRight" activeCell="B1" sqref="B1"/>
      <selection pane="bottomLeft" activeCell="A6" sqref="A6"/>
      <selection pane="bottomRight" activeCell="N16" sqref="N16"/>
    </sheetView>
  </sheetViews>
  <sheetFormatPr defaultColWidth="8.6640625" defaultRowHeight="14.4" x14ac:dyDescent="0.3"/>
  <cols>
    <col min="1" max="1" width="18" bestFit="1" customWidth="1"/>
    <col min="2" max="2" width="6.5546875" bestFit="1" customWidth="1"/>
    <col min="3" max="3" width="8.109375" bestFit="1" customWidth="1"/>
    <col min="4" max="4" width="6.6640625" bestFit="1" customWidth="1"/>
    <col min="5" max="5" width="17.5546875" bestFit="1" customWidth="1"/>
    <col min="6" max="6" width="6.33203125" bestFit="1" customWidth="1"/>
    <col min="7" max="7" width="9.88671875" bestFit="1" customWidth="1"/>
    <col min="8" max="9" width="14" customWidth="1"/>
    <col min="10" max="10" width="15" customWidth="1"/>
    <col min="11" max="11" width="13" customWidth="1"/>
    <col min="12" max="12" width="15" customWidth="1"/>
    <col min="13" max="13" width="9" bestFit="1" customWidth="1"/>
    <col min="14" max="14" width="28.109375" bestFit="1" customWidth="1"/>
  </cols>
  <sheetData>
    <row r="1" spans="1:14" ht="16.8" x14ac:dyDescent="0.3">
      <c r="A1" s="21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3">
      <c r="A2" s="6" t="s">
        <v>30</v>
      </c>
      <c r="B2" s="22" t="s">
        <v>52</v>
      </c>
      <c r="C2" s="22"/>
      <c r="D2" s="22"/>
      <c r="E2" s="6" t="s">
        <v>31</v>
      </c>
      <c r="F2" s="22">
        <v>12602713</v>
      </c>
      <c r="G2" s="22"/>
    </row>
    <row r="3" spans="1:14" x14ac:dyDescent="0.3">
      <c r="A3" s="6" t="s">
        <v>32</v>
      </c>
      <c r="B3" s="22" t="s">
        <v>53</v>
      </c>
      <c r="C3" s="22"/>
      <c r="D3" s="22"/>
      <c r="E3" s="6" t="s">
        <v>33</v>
      </c>
      <c r="F3" s="22" t="s">
        <v>59</v>
      </c>
      <c r="G3" s="22"/>
    </row>
    <row r="4" spans="1:14" x14ac:dyDescent="0.3">
      <c r="A4" s="20" t="s">
        <v>34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2" thickBot="1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9.4" thickBot="1" x14ac:dyDescent="0.35">
      <c r="A6" s="15">
        <v>46247</v>
      </c>
      <c r="B6" s="16">
        <v>420</v>
      </c>
      <c r="C6" s="16">
        <v>0</v>
      </c>
      <c r="D6" s="16">
        <v>120</v>
      </c>
      <c r="E6" s="16">
        <v>90</v>
      </c>
      <c r="F6" s="16">
        <v>300</v>
      </c>
      <c r="G6" s="16">
        <v>4</v>
      </c>
      <c r="H6" s="16">
        <v>30</v>
      </c>
      <c r="I6" s="17">
        <f t="shared" ref="I6:I75" si="0">IF(SUM(B6:F6,H6)=0,"",SUM(B6:F6,H6))</f>
        <v>960</v>
      </c>
      <c r="J6" s="17">
        <f t="shared" ref="J6:J75" si="1">IF(I6="","",1440-I6)</f>
        <v>480</v>
      </c>
      <c r="K6" s="18" t="s">
        <v>49</v>
      </c>
      <c r="L6" s="18" t="s">
        <v>54</v>
      </c>
      <c r="M6" s="18" t="s">
        <v>50</v>
      </c>
      <c r="N6" s="19" t="s">
        <v>94</v>
      </c>
    </row>
    <row r="7" spans="1:14" ht="29.4" thickBot="1" x14ac:dyDescent="0.35">
      <c r="A7" s="15">
        <v>46248</v>
      </c>
      <c r="B7" s="16">
        <v>420</v>
      </c>
      <c r="C7" s="16">
        <v>32</v>
      </c>
      <c r="D7" s="16">
        <v>180</v>
      </c>
      <c r="E7" s="16">
        <v>180</v>
      </c>
      <c r="F7" s="16">
        <v>300</v>
      </c>
      <c r="G7" s="16">
        <v>3</v>
      </c>
      <c r="H7" s="16">
        <v>50</v>
      </c>
      <c r="I7" s="17">
        <f>IF(SUM(B7:F7,H7)=0,"",SUM(B7:F7,H7))</f>
        <v>1162</v>
      </c>
      <c r="J7" s="17">
        <f>IF(I7="","",1440-I7)</f>
        <v>278</v>
      </c>
      <c r="K7" s="18" t="s">
        <v>54</v>
      </c>
      <c r="L7" s="18" t="s">
        <v>54</v>
      </c>
      <c r="M7" s="18" t="s">
        <v>50</v>
      </c>
      <c r="N7" s="19" t="s">
        <v>95</v>
      </c>
    </row>
    <row r="8" spans="1:14" ht="29.4" thickBot="1" x14ac:dyDescent="0.35">
      <c r="A8" s="15">
        <v>46249</v>
      </c>
      <c r="B8" s="16">
        <v>420</v>
      </c>
      <c r="C8" s="16">
        <v>40</v>
      </c>
      <c r="D8" s="16">
        <v>120</v>
      </c>
      <c r="E8" s="16">
        <v>120</v>
      </c>
      <c r="F8" s="16">
        <v>0</v>
      </c>
      <c r="G8" s="16">
        <v>0</v>
      </c>
      <c r="H8" s="16">
        <v>240</v>
      </c>
      <c r="I8" s="17">
        <f>IF(SUM(B8:F8,H8)=0,"",SUM(B8:F8,H8))</f>
        <v>940</v>
      </c>
      <c r="J8" s="17">
        <f>IF(I8="","",1440-I8)</f>
        <v>500</v>
      </c>
      <c r="K8" s="18" t="s">
        <v>49</v>
      </c>
      <c r="L8" s="18" t="s">
        <v>55</v>
      </c>
      <c r="M8" s="18" t="s">
        <v>56</v>
      </c>
      <c r="N8" s="14" t="s">
        <v>97</v>
      </c>
    </row>
    <row r="9" spans="1:14" ht="29.4" thickBot="1" x14ac:dyDescent="0.35">
      <c r="A9" s="15">
        <v>46250</v>
      </c>
      <c r="B9" s="16">
        <v>360</v>
      </c>
      <c r="C9" s="16">
        <v>30</v>
      </c>
      <c r="D9" s="16">
        <v>180</v>
      </c>
      <c r="E9" s="16">
        <v>90</v>
      </c>
      <c r="F9" s="16">
        <v>0</v>
      </c>
      <c r="G9" s="16">
        <v>0</v>
      </c>
      <c r="H9" s="16">
        <v>240</v>
      </c>
      <c r="I9" s="17">
        <f>IF(SUM(B9:F9,H9)=0,"",SUM(B9:F9,H9))</f>
        <v>900</v>
      </c>
      <c r="J9" s="17">
        <f>IF(I9="","",1440-I9)</f>
        <v>540</v>
      </c>
      <c r="K9" s="18" t="s">
        <v>57</v>
      </c>
      <c r="L9" s="18" t="s">
        <v>60</v>
      </c>
      <c r="M9" s="18" t="s">
        <v>50</v>
      </c>
      <c r="N9" s="14" t="s">
        <v>96</v>
      </c>
    </row>
    <row r="10" spans="1:14" ht="29.4" thickBot="1" x14ac:dyDescent="0.35">
      <c r="A10" s="8">
        <v>46251</v>
      </c>
      <c r="B10" s="9">
        <v>420</v>
      </c>
      <c r="C10" s="9">
        <v>45</v>
      </c>
      <c r="D10" s="9">
        <v>120</v>
      </c>
      <c r="E10" s="9">
        <v>180</v>
      </c>
      <c r="F10" s="9">
        <v>300</v>
      </c>
      <c r="G10" s="9">
        <v>6</v>
      </c>
      <c r="H10" s="9">
        <v>120</v>
      </c>
      <c r="I10" s="10">
        <f t="shared" si="0"/>
        <v>1185</v>
      </c>
      <c r="J10" s="10">
        <f t="shared" si="1"/>
        <v>255</v>
      </c>
      <c r="K10" s="11" t="s">
        <v>49</v>
      </c>
      <c r="L10" s="11" t="s">
        <v>55</v>
      </c>
      <c r="M10" s="11" t="s">
        <v>50</v>
      </c>
      <c r="N10" s="14" t="s">
        <v>74</v>
      </c>
    </row>
    <row r="11" spans="1:14" ht="43.8" thickBot="1" x14ac:dyDescent="0.35">
      <c r="A11" s="8">
        <v>46252</v>
      </c>
      <c r="B11" s="9">
        <v>420</v>
      </c>
      <c r="C11" s="9">
        <v>41</v>
      </c>
      <c r="D11" s="9">
        <v>210</v>
      </c>
      <c r="E11" s="9">
        <v>90</v>
      </c>
      <c r="F11" s="9">
        <v>200</v>
      </c>
      <c r="G11" s="9">
        <v>4</v>
      </c>
      <c r="H11" s="9">
        <v>180</v>
      </c>
      <c r="I11" s="10">
        <f t="shared" si="0"/>
        <v>1141</v>
      </c>
      <c r="J11" s="10">
        <f t="shared" si="1"/>
        <v>299</v>
      </c>
      <c r="K11" s="11" t="s">
        <v>57</v>
      </c>
      <c r="L11" s="11" t="s">
        <v>60</v>
      </c>
      <c r="M11" s="11" t="s">
        <v>50</v>
      </c>
      <c r="N11" s="14" t="s">
        <v>65</v>
      </c>
    </row>
    <row r="12" spans="1:14" ht="29.4" thickBot="1" x14ac:dyDescent="0.35">
      <c r="A12" s="8">
        <v>46253</v>
      </c>
      <c r="B12" s="9">
        <v>420</v>
      </c>
      <c r="C12" s="9">
        <v>35</v>
      </c>
      <c r="D12" s="9">
        <v>180</v>
      </c>
      <c r="E12" s="9">
        <v>60</v>
      </c>
      <c r="F12" s="9">
        <v>400</v>
      </c>
      <c r="G12" s="9">
        <v>8</v>
      </c>
      <c r="H12" s="9">
        <v>60</v>
      </c>
      <c r="I12" s="10">
        <f t="shared" si="0"/>
        <v>1155</v>
      </c>
      <c r="J12" s="10">
        <f t="shared" si="1"/>
        <v>285</v>
      </c>
      <c r="K12" s="11" t="s">
        <v>54</v>
      </c>
      <c r="L12" s="11" t="s">
        <v>54</v>
      </c>
      <c r="M12" s="11" t="s">
        <v>58</v>
      </c>
      <c r="N12" s="14" t="s">
        <v>66</v>
      </c>
    </row>
    <row r="13" spans="1:14" ht="43.8" thickBot="1" x14ac:dyDescent="0.35">
      <c r="A13" s="8">
        <v>46254</v>
      </c>
      <c r="B13" s="9">
        <v>420</v>
      </c>
      <c r="C13" s="9">
        <v>30</v>
      </c>
      <c r="D13" s="9">
        <v>240</v>
      </c>
      <c r="E13" s="9">
        <v>90</v>
      </c>
      <c r="F13" s="9">
        <v>200</v>
      </c>
      <c r="G13" s="9">
        <v>4</v>
      </c>
      <c r="H13" s="9">
        <v>180</v>
      </c>
      <c r="I13" s="10">
        <f t="shared" si="0"/>
        <v>1160</v>
      </c>
      <c r="J13" s="10">
        <f t="shared" si="1"/>
        <v>280</v>
      </c>
      <c r="K13" s="11" t="s">
        <v>49</v>
      </c>
      <c r="L13" s="11" t="s">
        <v>54</v>
      </c>
      <c r="M13" s="11" t="s">
        <v>56</v>
      </c>
      <c r="N13" s="14" t="s">
        <v>68</v>
      </c>
    </row>
    <row r="14" spans="1:14" ht="43.8" thickBot="1" x14ac:dyDescent="0.35">
      <c r="A14" s="8">
        <v>46255</v>
      </c>
      <c r="B14" s="9">
        <v>420</v>
      </c>
      <c r="C14" s="9">
        <v>30</v>
      </c>
      <c r="D14" s="9">
        <v>210</v>
      </c>
      <c r="E14" s="9">
        <v>120</v>
      </c>
      <c r="F14" s="9">
        <v>150</v>
      </c>
      <c r="G14" s="9">
        <v>3</v>
      </c>
      <c r="H14" s="9">
        <v>180</v>
      </c>
      <c r="I14" s="10">
        <f t="shared" si="0"/>
        <v>1110</v>
      </c>
      <c r="J14" s="10">
        <f t="shared" si="1"/>
        <v>330</v>
      </c>
      <c r="K14" s="11" t="s">
        <v>57</v>
      </c>
      <c r="L14" s="11" t="s">
        <v>55</v>
      </c>
      <c r="M14" s="11" t="s">
        <v>56</v>
      </c>
      <c r="N14" s="14" t="s">
        <v>75</v>
      </c>
    </row>
    <row r="15" spans="1:14" ht="29.4" thickBot="1" x14ac:dyDescent="0.35">
      <c r="A15" s="8">
        <v>46256</v>
      </c>
      <c r="B15" s="9">
        <v>420</v>
      </c>
      <c r="C15" s="9">
        <v>39</v>
      </c>
      <c r="D15" s="9">
        <v>180</v>
      </c>
      <c r="E15" s="9">
        <v>90</v>
      </c>
      <c r="F15" s="9">
        <v>0</v>
      </c>
      <c r="G15" s="9">
        <v>0</v>
      </c>
      <c r="H15" s="9">
        <v>180</v>
      </c>
      <c r="I15" s="10">
        <f t="shared" si="0"/>
        <v>909</v>
      </c>
      <c r="J15" s="10">
        <f t="shared" si="1"/>
        <v>531</v>
      </c>
      <c r="K15" s="11" t="s">
        <v>49</v>
      </c>
      <c r="L15" s="11" t="s">
        <v>54</v>
      </c>
      <c r="M15" s="11" t="s">
        <v>58</v>
      </c>
      <c r="N15" s="14" t="s">
        <v>100</v>
      </c>
    </row>
    <row r="16" spans="1:14" ht="29.4" thickBot="1" x14ac:dyDescent="0.35">
      <c r="A16" s="8">
        <v>46257</v>
      </c>
      <c r="B16" s="9">
        <v>400</v>
      </c>
      <c r="C16" s="9">
        <v>30</v>
      </c>
      <c r="D16" s="9">
        <v>210</v>
      </c>
      <c r="E16" s="9">
        <v>60</v>
      </c>
      <c r="F16" s="9">
        <v>0</v>
      </c>
      <c r="G16" s="9">
        <v>0</v>
      </c>
      <c r="H16" s="9">
        <v>120</v>
      </c>
      <c r="I16" s="10">
        <f t="shared" si="0"/>
        <v>820</v>
      </c>
      <c r="J16" s="10">
        <f t="shared" si="1"/>
        <v>620</v>
      </c>
      <c r="K16" s="11" t="s">
        <v>49</v>
      </c>
      <c r="L16" s="11" t="s">
        <v>55</v>
      </c>
      <c r="M16" s="11" t="s">
        <v>50</v>
      </c>
      <c r="N16" s="14" t="s">
        <v>99</v>
      </c>
    </row>
    <row r="17" spans="1:14" ht="29.4" thickBot="1" x14ac:dyDescent="0.35">
      <c r="A17" s="8">
        <v>46258</v>
      </c>
      <c r="B17" s="9">
        <v>360</v>
      </c>
      <c r="C17" s="9">
        <v>25</v>
      </c>
      <c r="D17" s="9">
        <v>90</v>
      </c>
      <c r="E17" s="9">
        <v>30</v>
      </c>
      <c r="F17" s="9">
        <v>350</v>
      </c>
      <c r="G17" s="9">
        <v>7</v>
      </c>
      <c r="H17" s="9">
        <v>60</v>
      </c>
      <c r="I17" s="10">
        <f t="shared" si="0"/>
        <v>915</v>
      </c>
      <c r="J17" s="10">
        <f t="shared" si="1"/>
        <v>525</v>
      </c>
      <c r="K17" s="11" t="s">
        <v>54</v>
      </c>
      <c r="L17" s="11" t="s">
        <v>54</v>
      </c>
      <c r="M17" s="11" t="s">
        <v>58</v>
      </c>
      <c r="N17" s="14" t="s">
        <v>98</v>
      </c>
    </row>
    <row r="18" spans="1:14" ht="29.4" thickBot="1" x14ac:dyDescent="0.35">
      <c r="A18" s="8">
        <v>46259</v>
      </c>
      <c r="B18" s="9">
        <v>420</v>
      </c>
      <c r="C18" s="9">
        <v>30</v>
      </c>
      <c r="D18" s="9">
        <v>120</v>
      </c>
      <c r="E18" s="9">
        <v>90</v>
      </c>
      <c r="F18" s="9">
        <v>350</v>
      </c>
      <c r="G18" s="9">
        <v>7</v>
      </c>
      <c r="H18" s="9">
        <v>60</v>
      </c>
      <c r="I18" s="10">
        <f t="shared" si="0"/>
        <v>1070</v>
      </c>
      <c r="J18" s="10">
        <f t="shared" si="1"/>
        <v>370</v>
      </c>
      <c r="K18" s="11" t="s">
        <v>54</v>
      </c>
      <c r="L18" s="11" t="s">
        <v>55</v>
      </c>
      <c r="M18" s="11" t="s">
        <v>58</v>
      </c>
      <c r="N18" s="14" t="s">
        <v>76</v>
      </c>
    </row>
    <row r="19" spans="1:14" ht="29.4" thickBot="1" x14ac:dyDescent="0.35">
      <c r="A19" s="8">
        <v>46260</v>
      </c>
      <c r="B19" s="9">
        <v>360</v>
      </c>
      <c r="C19" s="9">
        <v>26</v>
      </c>
      <c r="D19" s="9">
        <v>90</v>
      </c>
      <c r="E19" s="9">
        <v>60</v>
      </c>
      <c r="F19" s="9">
        <v>350</v>
      </c>
      <c r="G19" s="9">
        <v>7</v>
      </c>
      <c r="H19" s="9">
        <v>60</v>
      </c>
      <c r="I19" s="10">
        <f t="shared" si="0"/>
        <v>946</v>
      </c>
      <c r="J19" s="10">
        <f t="shared" si="1"/>
        <v>494</v>
      </c>
      <c r="K19" s="11" t="s">
        <v>58</v>
      </c>
      <c r="L19" s="11" t="s">
        <v>54</v>
      </c>
      <c r="M19" s="11" t="s">
        <v>58</v>
      </c>
      <c r="N19" s="14" t="s">
        <v>62</v>
      </c>
    </row>
    <row r="20" spans="1:14" ht="43.8" thickBot="1" x14ac:dyDescent="0.35">
      <c r="A20" s="8">
        <v>46261</v>
      </c>
      <c r="B20" s="9">
        <v>400</v>
      </c>
      <c r="C20" s="9">
        <v>39</v>
      </c>
      <c r="D20" s="9">
        <v>120</v>
      </c>
      <c r="E20" s="9">
        <v>30</v>
      </c>
      <c r="F20" s="9">
        <v>200</v>
      </c>
      <c r="G20" s="9">
        <v>4</v>
      </c>
      <c r="H20" s="9">
        <v>180</v>
      </c>
      <c r="I20" s="10">
        <f t="shared" si="0"/>
        <v>969</v>
      </c>
      <c r="J20" s="10">
        <f t="shared" si="1"/>
        <v>471</v>
      </c>
      <c r="K20" s="11" t="s">
        <v>49</v>
      </c>
      <c r="L20" s="11" t="s">
        <v>55</v>
      </c>
      <c r="M20" s="11" t="s">
        <v>56</v>
      </c>
      <c r="N20" s="14" t="s">
        <v>67</v>
      </c>
    </row>
    <row r="21" spans="1:14" ht="29.4" thickBot="1" x14ac:dyDescent="0.35">
      <c r="A21" s="8">
        <v>46262</v>
      </c>
      <c r="B21" s="9">
        <v>500</v>
      </c>
      <c r="C21" s="9">
        <v>31</v>
      </c>
      <c r="D21" s="9">
        <v>210</v>
      </c>
      <c r="E21" s="9">
        <v>45</v>
      </c>
      <c r="F21" s="9">
        <v>150</v>
      </c>
      <c r="G21" s="9">
        <v>3</v>
      </c>
      <c r="H21" s="9">
        <v>240</v>
      </c>
      <c r="I21" s="10">
        <f t="shared" si="0"/>
        <v>1176</v>
      </c>
      <c r="J21" s="10">
        <f t="shared" si="1"/>
        <v>264</v>
      </c>
      <c r="K21" s="11" t="s">
        <v>49</v>
      </c>
      <c r="L21" s="11" t="s">
        <v>54</v>
      </c>
      <c r="M21" s="11" t="s">
        <v>56</v>
      </c>
      <c r="N21" s="14" t="s">
        <v>77</v>
      </c>
    </row>
    <row r="22" spans="1:14" ht="43.8" thickBot="1" x14ac:dyDescent="0.35">
      <c r="A22" s="8">
        <v>46263</v>
      </c>
      <c r="B22" s="13">
        <v>420</v>
      </c>
      <c r="C22" s="9">
        <v>42</v>
      </c>
      <c r="D22" s="13">
        <v>360</v>
      </c>
      <c r="E22" s="9">
        <v>30</v>
      </c>
      <c r="F22" s="9">
        <v>0</v>
      </c>
      <c r="G22" s="9">
        <v>0</v>
      </c>
      <c r="H22" s="9">
        <v>300</v>
      </c>
      <c r="I22" s="10">
        <f t="shared" si="0"/>
        <v>1152</v>
      </c>
      <c r="J22" s="10">
        <f t="shared" si="1"/>
        <v>288</v>
      </c>
      <c r="K22" s="11" t="s">
        <v>54</v>
      </c>
      <c r="L22" s="11" t="s">
        <v>55</v>
      </c>
      <c r="M22" s="11" t="s">
        <v>56</v>
      </c>
      <c r="N22" s="14" t="s">
        <v>64</v>
      </c>
    </row>
    <row r="23" spans="1:14" ht="29.4" thickBot="1" x14ac:dyDescent="0.35">
      <c r="A23" s="8">
        <v>46264</v>
      </c>
      <c r="B23" s="13">
        <v>420</v>
      </c>
      <c r="C23" s="9">
        <v>28</v>
      </c>
      <c r="D23" s="13">
        <v>420</v>
      </c>
      <c r="E23" s="9">
        <v>120</v>
      </c>
      <c r="F23" s="9">
        <v>0</v>
      </c>
      <c r="G23" s="9">
        <v>0</v>
      </c>
      <c r="H23" s="9">
        <v>240</v>
      </c>
      <c r="I23" s="10">
        <f t="shared" si="0"/>
        <v>1228</v>
      </c>
      <c r="J23" s="10">
        <f t="shared" si="1"/>
        <v>212</v>
      </c>
      <c r="K23" s="11" t="s">
        <v>61</v>
      </c>
      <c r="L23" s="11" t="s">
        <v>54</v>
      </c>
      <c r="M23" s="11" t="s">
        <v>58</v>
      </c>
      <c r="N23" s="14" t="s">
        <v>63</v>
      </c>
    </row>
    <row r="24" spans="1:14" ht="43.8" thickBot="1" x14ac:dyDescent="0.35">
      <c r="A24" s="8">
        <v>46265</v>
      </c>
      <c r="B24" s="13">
        <v>420</v>
      </c>
      <c r="C24" s="9">
        <v>50</v>
      </c>
      <c r="D24" s="13">
        <v>120</v>
      </c>
      <c r="E24" s="9">
        <v>30</v>
      </c>
      <c r="F24" s="9">
        <v>350</v>
      </c>
      <c r="G24" s="9">
        <v>7</v>
      </c>
      <c r="H24" s="9">
        <v>60</v>
      </c>
      <c r="I24" s="10">
        <f t="shared" si="0"/>
        <v>1030</v>
      </c>
      <c r="J24" s="10">
        <f t="shared" si="1"/>
        <v>410</v>
      </c>
      <c r="K24" s="11" t="s">
        <v>57</v>
      </c>
      <c r="L24" s="11" t="s">
        <v>55</v>
      </c>
      <c r="M24" s="11" t="s">
        <v>58</v>
      </c>
      <c r="N24" s="14" t="s">
        <v>70</v>
      </c>
    </row>
    <row r="25" spans="1:14" ht="29.4" thickBot="1" x14ac:dyDescent="0.35">
      <c r="A25" s="8">
        <v>46266</v>
      </c>
      <c r="B25" s="13">
        <v>420</v>
      </c>
      <c r="C25" s="9">
        <v>30</v>
      </c>
      <c r="D25" s="13">
        <v>90</v>
      </c>
      <c r="E25" s="9">
        <v>50</v>
      </c>
      <c r="F25" s="9">
        <v>350</v>
      </c>
      <c r="G25" s="9">
        <v>7</v>
      </c>
      <c r="H25" s="9">
        <v>60</v>
      </c>
      <c r="I25" s="10">
        <f t="shared" si="0"/>
        <v>1000</v>
      </c>
      <c r="J25" s="10">
        <f t="shared" si="1"/>
        <v>440</v>
      </c>
      <c r="K25" s="11" t="s">
        <v>49</v>
      </c>
      <c r="L25" s="11" t="s">
        <v>55</v>
      </c>
      <c r="M25" s="11" t="s">
        <v>50</v>
      </c>
      <c r="N25" s="14" t="s">
        <v>69</v>
      </c>
    </row>
    <row r="26" spans="1:14" ht="43.8" thickBot="1" x14ac:dyDescent="0.35">
      <c r="A26" s="8">
        <v>46267</v>
      </c>
      <c r="B26" s="13">
        <v>420</v>
      </c>
      <c r="C26" s="9">
        <v>45</v>
      </c>
      <c r="D26" s="13">
        <v>120</v>
      </c>
      <c r="E26" s="9">
        <v>40</v>
      </c>
      <c r="F26" s="9">
        <v>350</v>
      </c>
      <c r="G26" s="9">
        <v>7</v>
      </c>
      <c r="H26" s="9">
        <v>60</v>
      </c>
      <c r="I26" s="10">
        <f t="shared" si="0"/>
        <v>1035</v>
      </c>
      <c r="J26" s="10">
        <f t="shared" si="1"/>
        <v>405</v>
      </c>
      <c r="K26" s="11" t="s">
        <v>54</v>
      </c>
      <c r="L26" s="11" t="s">
        <v>54</v>
      </c>
      <c r="M26" s="11" t="s">
        <v>50</v>
      </c>
      <c r="N26" s="14" t="s">
        <v>78</v>
      </c>
    </row>
    <row r="27" spans="1:14" ht="29.4" thickBot="1" x14ac:dyDescent="0.35">
      <c r="A27" s="8">
        <v>46268</v>
      </c>
      <c r="B27" s="13">
        <v>420</v>
      </c>
      <c r="C27" s="9">
        <v>35</v>
      </c>
      <c r="D27" s="13">
        <v>150</v>
      </c>
      <c r="E27" s="9">
        <v>50</v>
      </c>
      <c r="F27" s="9">
        <v>150</v>
      </c>
      <c r="G27" s="9">
        <v>3</v>
      </c>
      <c r="H27" s="9">
        <v>120</v>
      </c>
      <c r="I27" s="10">
        <f t="shared" si="0"/>
        <v>925</v>
      </c>
      <c r="J27" s="10">
        <f t="shared" si="1"/>
        <v>515</v>
      </c>
      <c r="K27" s="11" t="s">
        <v>49</v>
      </c>
      <c r="L27" s="11" t="s">
        <v>54</v>
      </c>
      <c r="M27" s="11" t="s">
        <v>56</v>
      </c>
      <c r="N27" s="14" t="s">
        <v>71</v>
      </c>
    </row>
    <row r="28" spans="1:14" ht="29.4" thickBot="1" x14ac:dyDescent="0.35">
      <c r="A28" s="8">
        <v>46269</v>
      </c>
      <c r="B28" s="13">
        <v>420</v>
      </c>
      <c r="C28" s="9">
        <v>60</v>
      </c>
      <c r="D28" s="13">
        <v>120</v>
      </c>
      <c r="E28" s="9">
        <v>60</v>
      </c>
      <c r="F28" s="9">
        <v>150</v>
      </c>
      <c r="G28" s="9">
        <v>3</v>
      </c>
      <c r="H28" s="9">
        <v>90</v>
      </c>
      <c r="I28" s="10">
        <f t="shared" si="0"/>
        <v>900</v>
      </c>
      <c r="J28" s="10">
        <f t="shared" si="1"/>
        <v>540</v>
      </c>
      <c r="K28" s="11" t="s">
        <v>49</v>
      </c>
      <c r="L28" s="11" t="s">
        <v>55</v>
      </c>
      <c r="M28" s="11" t="s">
        <v>50</v>
      </c>
      <c r="N28" s="14" t="s">
        <v>72</v>
      </c>
    </row>
    <row r="29" spans="1:14" ht="43.8" thickBot="1" x14ac:dyDescent="0.35">
      <c r="A29" s="8">
        <v>46270</v>
      </c>
      <c r="B29" s="13">
        <v>420</v>
      </c>
      <c r="C29" s="9">
        <v>42</v>
      </c>
      <c r="D29" s="13">
        <v>300</v>
      </c>
      <c r="E29" s="9">
        <v>30</v>
      </c>
      <c r="F29" s="9">
        <v>0</v>
      </c>
      <c r="G29" s="9">
        <v>0</v>
      </c>
      <c r="H29" s="9">
        <v>240</v>
      </c>
      <c r="I29" s="10">
        <f t="shared" si="0"/>
        <v>1032</v>
      </c>
      <c r="J29" s="10">
        <f t="shared" si="1"/>
        <v>408</v>
      </c>
      <c r="K29" s="11" t="s">
        <v>49</v>
      </c>
      <c r="L29" s="11" t="s">
        <v>55</v>
      </c>
      <c r="M29" s="11" t="s">
        <v>56</v>
      </c>
      <c r="N29" s="14" t="s">
        <v>64</v>
      </c>
    </row>
    <row r="30" spans="1:14" ht="43.8" thickBot="1" x14ac:dyDescent="0.35">
      <c r="A30" s="8">
        <v>46271</v>
      </c>
      <c r="B30" s="13">
        <v>420</v>
      </c>
      <c r="C30" s="9">
        <v>30</v>
      </c>
      <c r="D30" s="13">
        <v>300</v>
      </c>
      <c r="E30" s="9">
        <v>60</v>
      </c>
      <c r="F30" s="9">
        <v>0</v>
      </c>
      <c r="G30" s="9">
        <v>0</v>
      </c>
      <c r="H30" s="9">
        <v>300</v>
      </c>
      <c r="I30" s="10">
        <f t="shared" si="0"/>
        <v>1110</v>
      </c>
      <c r="J30" s="10">
        <f t="shared" si="1"/>
        <v>330</v>
      </c>
      <c r="K30" s="11" t="s">
        <v>49</v>
      </c>
      <c r="L30" s="11" t="s">
        <v>55</v>
      </c>
      <c r="M30" s="11" t="s">
        <v>56</v>
      </c>
      <c r="N30" s="14" t="s">
        <v>79</v>
      </c>
    </row>
    <row r="31" spans="1:14" ht="43.8" thickBot="1" x14ac:dyDescent="0.35">
      <c r="A31" s="8">
        <v>46272</v>
      </c>
      <c r="B31" s="13">
        <v>420</v>
      </c>
      <c r="C31" s="9">
        <v>20</v>
      </c>
      <c r="D31" s="13">
        <v>240</v>
      </c>
      <c r="E31" s="9">
        <v>40</v>
      </c>
      <c r="F31" s="9">
        <v>350</v>
      </c>
      <c r="G31" s="9">
        <v>7</v>
      </c>
      <c r="H31" s="9">
        <v>60</v>
      </c>
      <c r="I31" s="10">
        <f t="shared" si="0"/>
        <v>1130</v>
      </c>
      <c r="J31" s="10">
        <f t="shared" si="1"/>
        <v>310</v>
      </c>
      <c r="K31" s="11" t="s">
        <v>49</v>
      </c>
      <c r="L31" s="11" t="s">
        <v>55</v>
      </c>
      <c r="M31" s="11" t="s">
        <v>50</v>
      </c>
      <c r="N31" s="14" t="s">
        <v>80</v>
      </c>
    </row>
    <row r="32" spans="1:14" ht="29.4" thickBot="1" x14ac:dyDescent="0.35">
      <c r="A32" s="8">
        <v>46273</v>
      </c>
      <c r="B32" s="13">
        <v>420</v>
      </c>
      <c r="C32" s="9">
        <v>30</v>
      </c>
      <c r="D32" s="13">
        <v>240</v>
      </c>
      <c r="E32" s="9">
        <v>0</v>
      </c>
      <c r="F32" s="9">
        <v>350</v>
      </c>
      <c r="G32" s="9">
        <v>7</v>
      </c>
      <c r="H32" s="9">
        <v>120</v>
      </c>
      <c r="I32" s="10">
        <f t="shared" si="0"/>
        <v>1160</v>
      </c>
      <c r="J32" s="10">
        <f t="shared" si="1"/>
        <v>280</v>
      </c>
      <c r="K32" s="11" t="s">
        <v>49</v>
      </c>
      <c r="L32" s="11" t="s">
        <v>55</v>
      </c>
      <c r="M32" s="11" t="s">
        <v>50</v>
      </c>
      <c r="N32" s="14" t="s">
        <v>81</v>
      </c>
    </row>
    <row r="33" spans="1:14" ht="29.4" thickBot="1" x14ac:dyDescent="0.35">
      <c r="A33" s="8">
        <v>46274</v>
      </c>
      <c r="B33" s="13">
        <v>420</v>
      </c>
      <c r="C33" s="9">
        <v>46</v>
      </c>
      <c r="D33" s="13">
        <v>150</v>
      </c>
      <c r="E33" s="9">
        <v>60</v>
      </c>
      <c r="F33" s="9">
        <v>350</v>
      </c>
      <c r="G33" s="9">
        <v>7</v>
      </c>
      <c r="H33" s="9">
        <v>90</v>
      </c>
      <c r="I33" s="10">
        <f t="shared" si="0"/>
        <v>1116</v>
      </c>
      <c r="J33" s="10">
        <f t="shared" si="1"/>
        <v>324</v>
      </c>
      <c r="K33" s="11" t="s">
        <v>49</v>
      </c>
      <c r="L33" s="11" t="s">
        <v>55</v>
      </c>
      <c r="M33" s="11" t="s">
        <v>50</v>
      </c>
      <c r="N33" s="14" t="s">
        <v>73</v>
      </c>
    </row>
    <row r="34" spans="1:14" ht="43.8" thickBot="1" x14ac:dyDescent="0.35">
      <c r="A34" s="8">
        <v>46275</v>
      </c>
      <c r="B34" s="13">
        <v>420</v>
      </c>
      <c r="C34" s="9">
        <v>45</v>
      </c>
      <c r="D34" s="13">
        <v>150</v>
      </c>
      <c r="E34" s="9">
        <v>120</v>
      </c>
      <c r="F34" s="9">
        <v>150</v>
      </c>
      <c r="G34" s="9">
        <v>3</v>
      </c>
      <c r="H34" s="9">
        <v>180</v>
      </c>
      <c r="I34" s="10">
        <f t="shared" si="0"/>
        <v>1065</v>
      </c>
      <c r="J34" s="10">
        <f t="shared" si="1"/>
        <v>375</v>
      </c>
      <c r="K34" s="11" t="s">
        <v>49</v>
      </c>
      <c r="L34" s="11" t="s">
        <v>55</v>
      </c>
      <c r="M34" s="11" t="s">
        <v>50</v>
      </c>
      <c r="N34" s="14" t="s">
        <v>82</v>
      </c>
    </row>
    <row r="35" spans="1:14" ht="29.4" thickBot="1" x14ac:dyDescent="0.35">
      <c r="A35" s="8">
        <v>46276</v>
      </c>
      <c r="B35" s="13">
        <v>420</v>
      </c>
      <c r="C35" s="9">
        <v>45</v>
      </c>
      <c r="D35" s="13">
        <v>150</v>
      </c>
      <c r="E35" s="9">
        <v>60</v>
      </c>
      <c r="F35" s="9">
        <v>150</v>
      </c>
      <c r="G35" s="9">
        <v>3</v>
      </c>
      <c r="H35" s="9">
        <v>120</v>
      </c>
      <c r="I35" s="10">
        <f t="shared" si="0"/>
        <v>945</v>
      </c>
      <c r="J35" s="10">
        <f t="shared" si="1"/>
        <v>495</v>
      </c>
      <c r="K35" s="11" t="s">
        <v>49</v>
      </c>
      <c r="L35" s="11" t="s">
        <v>55</v>
      </c>
      <c r="M35" s="11" t="s">
        <v>50</v>
      </c>
      <c r="N35" s="14" t="s">
        <v>83</v>
      </c>
    </row>
    <row r="36" spans="1:14" ht="43.8" thickBot="1" x14ac:dyDescent="0.35">
      <c r="A36" s="8">
        <v>46277</v>
      </c>
      <c r="B36" s="13">
        <v>420</v>
      </c>
      <c r="C36" s="9">
        <v>30</v>
      </c>
      <c r="D36" s="13">
        <v>300</v>
      </c>
      <c r="E36" s="9">
        <v>120</v>
      </c>
      <c r="F36" s="9">
        <v>0</v>
      </c>
      <c r="G36" s="9">
        <v>0</v>
      </c>
      <c r="H36" s="9">
        <v>240</v>
      </c>
      <c r="I36" s="10">
        <f t="shared" si="0"/>
        <v>1110</v>
      </c>
      <c r="J36" s="10">
        <f t="shared" si="1"/>
        <v>330</v>
      </c>
      <c r="K36" s="11" t="s">
        <v>49</v>
      </c>
      <c r="L36" s="11" t="s">
        <v>55</v>
      </c>
      <c r="M36" s="11" t="s">
        <v>56</v>
      </c>
      <c r="N36" s="14" t="s">
        <v>84</v>
      </c>
    </row>
    <row r="37" spans="1:14" ht="29.4" thickBot="1" x14ac:dyDescent="0.35">
      <c r="A37" s="8">
        <v>46278</v>
      </c>
      <c r="B37" s="13">
        <v>420</v>
      </c>
      <c r="C37" s="9">
        <v>60</v>
      </c>
      <c r="D37" s="13">
        <v>300</v>
      </c>
      <c r="E37" s="9">
        <v>60</v>
      </c>
      <c r="F37" s="9">
        <v>0</v>
      </c>
      <c r="G37" s="9">
        <v>0</v>
      </c>
      <c r="H37" s="9">
        <v>300</v>
      </c>
      <c r="I37" s="10">
        <f t="shared" si="0"/>
        <v>1140</v>
      </c>
      <c r="J37" s="10">
        <f t="shared" si="1"/>
        <v>300</v>
      </c>
      <c r="K37" s="11" t="s">
        <v>49</v>
      </c>
      <c r="L37" s="11" t="s">
        <v>55</v>
      </c>
      <c r="M37" s="11" t="s">
        <v>56</v>
      </c>
      <c r="N37" s="14" t="s">
        <v>85</v>
      </c>
    </row>
    <row r="38" spans="1:14" ht="43.8" thickBot="1" x14ac:dyDescent="0.35">
      <c r="A38" s="8">
        <v>46279</v>
      </c>
      <c r="B38" s="13">
        <v>420</v>
      </c>
      <c r="C38" s="9">
        <v>50</v>
      </c>
      <c r="D38" s="13">
        <v>180</v>
      </c>
      <c r="E38" s="9">
        <v>30</v>
      </c>
      <c r="F38" s="9">
        <v>350</v>
      </c>
      <c r="G38" s="9">
        <v>7</v>
      </c>
      <c r="H38" s="9">
        <v>60</v>
      </c>
      <c r="I38" s="10">
        <f t="shared" si="0"/>
        <v>1090</v>
      </c>
      <c r="J38" s="10">
        <f t="shared" si="1"/>
        <v>350</v>
      </c>
      <c r="K38" s="11" t="s">
        <v>49</v>
      </c>
      <c r="L38" s="11" t="s">
        <v>55</v>
      </c>
      <c r="M38" s="11" t="s">
        <v>58</v>
      </c>
      <c r="N38" s="14" t="s">
        <v>86</v>
      </c>
    </row>
    <row r="39" spans="1:14" ht="43.8" thickBot="1" x14ac:dyDescent="0.35">
      <c r="A39" s="8">
        <v>46280</v>
      </c>
      <c r="B39" s="13">
        <v>420</v>
      </c>
      <c r="C39" s="9">
        <v>60</v>
      </c>
      <c r="D39" s="9">
        <v>180</v>
      </c>
      <c r="E39" s="9">
        <v>0</v>
      </c>
      <c r="F39" s="9">
        <v>350</v>
      </c>
      <c r="G39" s="9">
        <v>7</v>
      </c>
      <c r="H39" s="9">
        <v>90</v>
      </c>
      <c r="I39" s="10">
        <f t="shared" si="0"/>
        <v>1100</v>
      </c>
      <c r="J39" s="10">
        <f t="shared" si="1"/>
        <v>340</v>
      </c>
      <c r="K39" s="11" t="s">
        <v>49</v>
      </c>
      <c r="L39" s="11" t="s">
        <v>55</v>
      </c>
      <c r="M39" s="11" t="s">
        <v>58</v>
      </c>
      <c r="N39" s="14" t="s">
        <v>87</v>
      </c>
    </row>
    <row r="40" spans="1:14" ht="29.4" thickBot="1" x14ac:dyDescent="0.35">
      <c r="A40" s="8">
        <v>46281</v>
      </c>
      <c r="B40" s="9">
        <v>420</v>
      </c>
      <c r="C40" s="9">
        <v>60</v>
      </c>
      <c r="D40" s="9">
        <v>360</v>
      </c>
      <c r="E40" s="9">
        <v>30</v>
      </c>
      <c r="F40" s="9">
        <v>350</v>
      </c>
      <c r="G40" s="9">
        <v>7</v>
      </c>
      <c r="H40" s="9">
        <v>120</v>
      </c>
      <c r="I40" s="10">
        <f t="shared" si="0"/>
        <v>1340</v>
      </c>
      <c r="J40" s="10">
        <f t="shared" si="1"/>
        <v>100</v>
      </c>
      <c r="K40" s="11" t="s">
        <v>58</v>
      </c>
      <c r="L40" s="11" t="s">
        <v>55</v>
      </c>
      <c r="M40" s="11" t="s">
        <v>58</v>
      </c>
      <c r="N40" s="14" t="s">
        <v>88</v>
      </c>
    </row>
    <row r="41" spans="1:14" ht="29.4" thickBot="1" x14ac:dyDescent="0.35">
      <c r="A41" s="8">
        <v>46282</v>
      </c>
      <c r="B41" s="13">
        <v>375</v>
      </c>
      <c r="C41" s="13">
        <v>26</v>
      </c>
      <c r="D41" s="13">
        <v>105</v>
      </c>
      <c r="E41" s="13">
        <v>70</v>
      </c>
      <c r="F41" s="9">
        <v>150</v>
      </c>
      <c r="G41" s="9">
        <v>3</v>
      </c>
      <c r="H41" s="13">
        <v>45</v>
      </c>
      <c r="I41" s="10">
        <f t="shared" ref="I41:I45" si="2">IF(SUM(B41:F41,H41)=0,"",SUM(B41:F41,H41))</f>
        <v>771</v>
      </c>
      <c r="J41" s="10">
        <f t="shared" si="1"/>
        <v>669</v>
      </c>
      <c r="K41" s="11" t="s">
        <v>49</v>
      </c>
      <c r="L41" s="11" t="s">
        <v>55</v>
      </c>
      <c r="M41" s="11" t="s">
        <v>56</v>
      </c>
      <c r="N41" s="14" t="s">
        <v>89</v>
      </c>
    </row>
    <row r="42" spans="1:14" ht="43.8" thickBot="1" x14ac:dyDescent="0.35">
      <c r="A42" s="8">
        <v>46283</v>
      </c>
      <c r="B42" s="13">
        <v>386</v>
      </c>
      <c r="C42" s="13">
        <v>39</v>
      </c>
      <c r="D42" s="13">
        <v>65</v>
      </c>
      <c r="E42" s="13">
        <v>95</v>
      </c>
      <c r="F42" s="9">
        <v>150</v>
      </c>
      <c r="G42" s="9">
        <v>3</v>
      </c>
      <c r="H42" s="13">
        <v>60</v>
      </c>
      <c r="I42" s="10">
        <f t="shared" si="2"/>
        <v>795</v>
      </c>
      <c r="J42" s="10">
        <f t="shared" si="1"/>
        <v>645</v>
      </c>
      <c r="K42" s="11" t="s">
        <v>49</v>
      </c>
      <c r="L42" s="11" t="s">
        <v>55</v>
      </c>
      <c r="M42" s="11" t="s">
        <v>50</v>
      </c>
      <c r="N42" s="14" t="s">
        <v>90</v>
      </c>
    </row>
    <row r="43" spans="1:14" ht="29.4" thickBot="1" x14ac:dyDescent="0.35">
      <c r="A43" s="8">
        <v>46284</v>
      </c>
      <c r="B43" s="13">
        <v>392</v>
      </c>
      <c r="C43" s="13">
        <v>31</v>
      </c>
      <c r="D43" s="13">
        <v>90</v>
      </c>
      <c r="E43" s="13">
        <v>60</v>
      </c>
      <c r="F43" s="9">
        <v>0</v>
      </c>
      <c r="G43" s="9">
        <v>0</v>
      </c>
      <c r="H43" s="13">
        <v>120</v>
      </c>
      <c r="I43" s="10">
        <f t="shared" si="2"/>
        <v>693</v>
      </c>
      <c r="J43" s="10">
        <f t="shared" si="1"/>
        <v>747</v>
      </c>
      <c r="K43" s="11" t="s">
        <v>49</v>
      </c>
      <c r="L43" s="11" t="s">
        <v>55</v>
      </c>
      <c r="M43" s="11" t="s">
        <v>56</v>
      </c>
      <c r="N43" s="14" t="s">
        <v>91</v>
      </c>
    </row>
    <row r="44" spans="1:14" ht="29.4" thickBot="1" x14ac:dyDescent="0.35">
      <c r="A44" s="8">
        <v>46285</v>
      </c>
      <c r="B44" s="13">
        <v>378</v>
      </c>
      <c r="C44" s="13">
        <v>45</v>
      </c>
      <c r="D44" s="13">
        <v>75</v>
      </c>
      <c r="E44" s="13">
        <v>60</v>
      </c>
      <c r="F44" s="9">
        <v>0</v>
      </c>
      <c r="G44" s="9">
        <v>0</v>
      </c>
      <c r="H44" s="13">
        <v>240</v>
      </c>
      <c r="I44" s="10">
        <f t="shared" si="2"/>
        <v>798</v>
      </c>
      <c r="J44" s="10">
        <f t="shared" si="1"/>
        <v>642</v>
      </c>
      <c r="K44" s="11" t="s">
        <v>54</v>
      </c>
      <c r="L44" s="11" t="s">
        <v>54</v>
      </c>
      <c r="M44" s="11" t="s">
        <v>50</v>
      </c>
      <c r="N44" s="14" t="s">
        <v>92</v>
      </c>
    </row>
    <row r="45" spans="1:14" ht="43.8" thickBot="1" x14ac:dyDescent="0.35">
      <c r="A45" s="8">
        <v>46286</v>
      </c>
      <c r="B45" s="13">
        <v>394</v>
      </c>
      <c r="C45" s="13">
        <v>34</v>
      </c>
      <c r="D45" s="13">
        <v>115</v>
      </c>
      <c r="E45" s="13">
        <v>75</v>
      </c>
      <c r="F45" s="9">
        <v>350</v>
      </c>
      <c r="G45" s="9">
        <v>7</v>
      </c>
      <c r="H45" s="13">
        <v>52</v>
      </c>
      <c r="I45" s="10">
        <f t="shared" si="2"/>
        <v>1020</v>
      </c>
      <c r="J45" s="10">
        <f t="shared" si="1"/>
        <v>420</v>
      </c>
      <c r="K45" s="11" t="s">
        <v>49</v>
      </c>
      <c r="L45" s="11" t="s">
        <v>55</v>
      </c>
      <c r="M45" s="11" t="s">
        <v>56</v>
      </c>
      <c r="N45" s="14" t="s">
        <v>93</v>
      </c>
    </row>
    <row r="46" spans="1:14" ht="15" thickBot="1" x14ac:dyDescent="0.35">
      <c r="A46" s="8"/>
      <c r="B46" s="13"/>
      <c r="C46" s="13"/>
      <c r="D46" s="13"/>
      <c r="E46" s="13"/>
      <c r="F46" s="9"/>
      <c r="G46" s="9"/>
      <c r="H46" s="13"/>
      <c r="I46" s="10"/>
      <c r="J46" s="10"/>
      <c r="K46" s="11"/>
      <c r="L46" s="11"/>
      <c r="M46" s="11"/>
      <c r="N46" s="14"/>
    </row>
    <row r="47" spans="1:14" ht="15" thickBot="1" x14ac:dyDescent="0.35">
      <c r="A47" s="8"/>
      <c r="B47" s="13"/>
      <c r="C47" s="13"/>
      <c r="D47" s="13"/>
      <c r="E47" s="13"/>
      <c r="F47" s="9"/>
      <c r="G47" s="9"/>
      <c r="H47" s="13"/>
      <c r="I47" s="10"/>
      <c r="J47" s="10"/>
      <c r="K47" s="11"/>
      <c r="L47" s="11"/>
      <c r="M47" s="11"/>
      <c r="N47" s="14"/>
    </row>
    <row r="48" spans="1:14" x14ac:dyDescent="0.3">
      <c r="A48" s="8"/>
      <c r="B48" s="9"/>
      <c r="C48" s="9"/>
      <c r="D48" s="9"/>
      <c r="E48" s="13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x14ac:dyDescent="0.3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3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3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3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3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3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si="0"/>
        <v/>
      </c>
      <c r="J70" s="10" t="str">
        <f t="shared" si="1"/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0"/>
        <v/>
      </c>
      <c r="J71" s="10" t="str">
        <f t="shared" si="1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0"/>
        <v/>
      </c>
      <c r="J72" s="10" t="str">
        <f t="shared" si="1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0"/>
        <v/>
      </c>
      <c r="J73" s="10" t="str">
        <f t="shared" si="1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0"/>
        <v/>
      </c>
      <c r="J74" s="10" t="str">
        <f t="shared" si="1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0"/>
        <v/>
      </c>
      <c r="J75" s="10" t="str">
        <f t="shared" si="1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ref="I76:I139" si="3">IF(SUM(B76:F76,H76)=0,"",SUM(B76:F76,H76))</f>
        <v/>
      </c>
      <c r="J76" s="10" t="str">
        <f t="shared" ref="J76:J139" si="4">IF(I76="","",1440-I76)</f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3"/>
        <v/>
      </c>
      <c r="J77" s="10" t="str">
        <f t="shared" si="4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3"/>
        <v/>
      </c>
      <c r="J78" s="10" t="str">
        <f t="shared" si="4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3"/>
        <v/>
      </c>
      <c r="J79" s="10" t="str">
        <f t="shared" si="4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3"/>
        <v/>
      </c>
      <c r="J80" s="10" t="str">
        <f t="shared" si="4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3"/>
        <v/>
      </c>
      <c r="J81" s="10" t="str">
        <f t="shared" si="4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3"/>
        <v/>
      </c>
      <c r="J82" s="10" t="str">
        <f t="shared" si="4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3"/>
        <v/>
      </c>
      <c r="J83" s="10" t="str">
        <f t="shared" si="4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3"/>
        <v/>
      </c>
      <c r="J84" s="10" t="str">
        <f t="shared" si="4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3"/>
        <v/>
      </c>
      <c r="J85" s="10" t="str">
        <f t="shared" si="4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3"/>
        <v/>
      </c>
      <c r="J86" s="10" t="str">
        <f t="shared" si="4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3"/>
        <v/>
      </c>
      <c r="J87" s="10" t="str">
        <f t="shared" si="4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3"/>
        <v/>
      </c>
      <c r="J88" s="10" t="str">
        <f t="shared" si="4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3"/>
        <v/>
      </c>
      <c r="J89" s="10" t="str">
        <f t="shared" si="4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3"/>
        <v/>
      </c>
      <c r="J90" s="10" t="str">
        <f t="shared" si="4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3"/>
        <v/>
      </c>
      <c r="J91" s="10" t="str">
        <f t="shared" si="4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3"/>
        <v/>
      </c>
      <c r="J92" s="10" t="str">
        <f t="shared" si="4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3"/>
        <v/>
      </c>
      <c r="J93" s="10" t="str">
        <f t="shared" si="4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3"/>
        <v/>
      </c>
      <c r="J94" s="10" t="str">
        <f t="shared" si="4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3"/>
        <v/>
      </c>
      <c r="J95" s="10" t="str">
        <f t="shared" si="4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3"/>
        <v/>
      </c>
      <c r="J96" s="10" t="str">
        <f t="shared" si="4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3"/>
        <v/>
      </c>
      <c r="J97" s="10" t="str">
        <f t="shared" si="4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3"/>
        <v/>
      </c>
      <c r="J98" s="10" t="str">
        <f t="shared" si="4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3"/>
        <v/>
      </c>
      <c r="J99" s="10" t="str">
        <f t="shared" si="4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3"/>
        <v/>
      </c>
      <c r="J100" s="10" t="str">
        <f t="shared" si="4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3"/>
        <v/>
      </c>
      <c r="J101" s="10" t="str">
        <f t="shared" si="4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3"/>
        <v/>
      </c>
      <c r="J102" s="10" t="str">
        <f t="shared" si="4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3"/>
        <v/>
      </c>
      <c r="J103" s="10" t="str">
        <f t="shared" si="4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3"/>
        <v/>
      </c>
      <c r="J104" s="10" t="str">
        <f t="shared" si="4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3"/>
        <v/>
      </c>
      <c r="J105" s="10" t="str">
        <f t="shared" si="4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3"/>
        <v/>
      </c>
      <c r="J106" s="10" t="str">
        <f t="shared" si="4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3"/>
        <v/>
      </c>
      <c r="J107" s="10" t="str">
        <f t="shared" si="4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3"/>
        <v/>
      </c>
      <c r="J108" s="10" t="str">
        <f t="shared" si="4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3"/>
        <v/>
      </c>
      <c r="J109" s="10" t="str">
        <f t="shared" si="4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3"/>
        <v/>
      </c>
      <c r="J110" s="10" t="str">
        <f t="shared" si="4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3"/>
        <v/>
      </c>
      <c r="J111" s="10" t="str">
        <f t="shared" si="4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3"/>
        <v/>
      </c>
      <c r="J112" s="10" t="str">
        <f t="shared" si="4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3"/>
        <v/>
      </c>
      <c r="J113" s="10" t="str">
        <f t="shared" si="4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3"/>
        <v/>
      </c>
      <c r="J114" s="10" t="str">
        <f t="shared" si="4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3"/>
        <v/>
      </c>
      <c r="J115" s="10" t="str">
        <f t="shared" si="4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3"/>
        <v/>
      </c>
      <c r="J116" s="10" t="str">
        <f t="shared" si="4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3"/>
        <v/>
      </c>
      <c r="J117" s="10" t="str">
        <f t="shared" si="4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3"/>
        <v/>
      </c>
      <c r="J118" s="10" t="str">
        <f t="shared" si="4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3"/>
        <v/>
      </c>
      <c r="J119" s="10" t="str">
        <f t="shared" si="4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3"/>
        <v/>
      </c>
      <c r="J120" s="10" t="str">
        <f t="shared" si="4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3"/>
        <v/>
      </c>
      <c r="J121" s="10" t="str">
        <f t="shared" si="4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3"/>
        <v/>
      </c>
      <c r="J122" s="10" t="str">
        <f t="shared" si="4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3"/>
        <v/>
      </c>
      <c r="J123" s="10" t="str">
        <f t="shared" si="4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3"/>
        <v/>
      </c>
      <c r="J124" s="10" t="str">
        <f t="shared" si="4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3"/>
        <v/>
      </c>
      <c r="J125" s="10" t="str">
        <f t="shared" si="4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3"/>
        <v/>
      </c>
      <c r="J126" s="10" t="str">
        <f t="shared" si="4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3"/>
        <v/>
      </c>
      <c r="J127" s="10" t="str">
        <f t="shared" si="4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3"/>
        <v/>
      </c>
      <c r="J128" s="10" t="str">
        <f t="shared" si="4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3"/>
        <v/>
      </c>
      <c r="J129" s="10" t="str">
        <f t="shared" si="4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3"/>
        <v/>
      </c>
      <c r="J130" s="10" t="str">
        <f t="shared" si="4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3"/>
        <v/>
      </c>
      <c r="J131" s="10" t="str">
        <f t="shared" si="4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3"/>
        <v/>
      </c>
      <c r="J132" s="10" t="str">
        <f t="shared" si="4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3"/>
        <v/>
      </c>
      <c r="J133" s="10" t="str">
        <f t="shared" si="4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3"/>
        <v/>
      </c>
      <c r="J134" s="10" t="str">
        <f t="shared" si="4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3"/>
        <v/>
      </c>
      <c r="J135" s="10" t="str">
        <f t="shared" si="4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3"/>
        <v/>
      </c>
      <c r="J136" s="10" t="str">
        <f t="shared" si="4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3"/>
        <v/>
      </c>
      <c r="J137" s="10" t="str">
        <f t="shared" si="4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3"/>
        <v/>
      </c>
      <c r="J138" s="10" t="str">
        <f t="shared" si="4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3"/>
        <v/>
      </c>
      <c r="J139" s="10" t="str">
        <f t="shared" si="4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ref="I140:I203" si="5">IF(SUM(B140:F140,H140)=0,"",SUM(B140:F140,H140))</f>
        <v/>
      </c>
      <c r="J140" s="10" t="str">
        <f t="shared" ref="J140:J203" si="6">IF(I140="","",1440-I140)</f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5"/>
        <v/>
      </c>
      <c r="J141" s="10" t="str">
        <f t="shared" si="6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5"/>
        <v/>
      </c>
      <c r="J142" s="10" t="str">
        <f t="shared" si="6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5"/>
        <v/>
      </c>
      <c r="J143" s="10" t="str">
        <f t="shared" si="6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5"/>
        <v/>
      </c>
      <c r="J144" s="10" t="str">
        <f t="shared" si="6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5"/>
        <v/>
      </c>
      <c r="J145" s="10" t="str">
        <f t="shared" si="6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5"/>
        <v/>
      </c>
      <c r="J146" s="10" t="str">
        <f t="shared" si="6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5"/>
        <v/>
      </c>
      <c r="J147" s="10" t="str">
        <f t="shared" si="6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5"/>
        <v/>
      </c>
      <c r="J148" s="10" t="str">
        <f t="shared" si="6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5"/>
        <v/>
      </c>
      <c r="J149" s="10" t="str">
        <f t="shared" si="6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5"/>
        <v/>
      </c>
      <c r="J150" s="10" t="str">
        <f t="shared" si="6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5"/>
        <v/>
      </c>
      <c r="J151" s="10" t="str">
        <f t="shared" si="6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5"/>
        <v/>
      </c>
      <c r="J152" s="10" t="str">
        <f t="shared" si="6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5"/>
        <v/>
      </c>
      <c r="J153" s="10" t="str">
        <f t="shared" si="6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5"/>
        <v/>
      </c>
      <c r="J154" s="10" t="str">
        <f t="shared" si="6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5"/>
        <v/>
      </c>
      <c r="J155" s="10" t="str">
        <f t="shared" si="6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5"/>
        <v/>
      </c>
      <c r="J156" s="10" t="str">
        <f t="shared" si="6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5"/>
        <v/>
      </c>
      <c r="J157" s="10" t="str">
        <f t="shared" si="6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5"/>
        <v/>
      </c>
      <c r="J158" s="10" t="str">
        <f t="shared" si="6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5"/>
        <v/>
      </c>
      <c r="J159" s="10" t="str">
        <f t="shared" si="6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5"/>
        <v/>
      </c>
      <c r="J160" s="10" t="str">
        <f t="shared" si="6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5"/>
        <v/>
      </c>
      <c r="J161" s="10" t="str">
        <f t="shared" si="6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5"/>
        <v/>
      </c>
      <c r="J162" s="10" t="str">
        <f t="shared" si="6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5"/>
        <v/>
      </c>
      <c r="J163" s="10" t="str">
        <f t="shared" si="6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5"/>
        <v/>
      </c>
      <c r="J164" s="10" t="str">
        <f t="shared" si="6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5"/>
        <v/>
      </c>
      <c r="J165" s="10" t="str">
        <f t="shared" si="6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5"/>
        <v/>
      </c>
      <c r="J166" s="10" t="str">
        <f t="shared" si="6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5"/>
        <v/>
      </c>
      <c r="J167" s="10" t="str">
        <f t="shared" si="6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5"/>
        <v/>
      </c>
      <c r="J168" s="10" t="str">
        <f t="shared" si="6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5"/>
        <v/>
      </c>
      <c r="J169" s="10" t="str">
        <f t="shared" si="6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5"/>
        <v/>
      </c>
      <c r="J170" s="10" t="str">
        <f t="shared" si="6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5"/>
        <v/>
      </c>
      <c r="J171" s="10" t="str">
        <f t="shared" si="6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5"/>
        <v/>
      </c>
      <c r="J172" s="10" t="str">
        <f t="shared" si="6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5"/>
        <v/>
      </c>
      <c r="J173" s="10" t="str">
        <f t="shared" si="6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5"/>
        <v/>
      </c>
      <c r="J174" s="10" t="str">
        <f t="shared" si="6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5"/>
        <v/>
      </c>
      <c r="J175" s="10" t="str">
        <f t="shared" si="6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5"/>
        <v/>
      </c>
      <c r="J176" s="10" t="str">
        <f t="shared" si="6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5"/>
        <v/>
      </c>
      <c r="J177" s="10" t="str">
        <f t="shared" si="6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5"/>
        <v/>
      </c>
      <c r="J178" s="10" t="str">
        <f t="shared" si="6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5"/>
        <v/>
      </c>
      <c r="J179" s="10" t="str">
        <f t="shared" si="6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5"/>
        <v/>
      </c>
      <c r="J180" s="10" t="str">
        <f t="shared" si="6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5"/>
        <v/>
      </c>
      <c r="J181" s="10" t="str">
        <f t="shared" si="6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5"/>
        <v/>
      </c>
      <c r="J182" s="10" t="str">
        <f t="shared" si="6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5"/>
        <v/>
      </c>
      <c r="J183" s="10" t="str">
        <f t="shared" si="6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5"/>
        <v/>
      </c>
      <c r="J184" s="10" t="str">
        <f t="shared" si="6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5"/>
        <v/>
      </c>
      <c r="J185" s="10" t="str">
        <f t="shared" si="6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5"/>
        <v/>
      </c>
      <c r="J186" s="10" t="str">
        <f t="shared" si="6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5"/>
        <v/>
      </c>
      <c r="J187" s="10" t="str">
        <f t="shared" si="6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5"/>
        <v/>
      </c>
      <c r="J188" s="10" t="str">
        <f t="shared" si="6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5"/>
        <v/>
      </c>
      <c r="J189" s="10" t="str">
        <f t="shared" si="6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5"/>
        <v/>
      </c>
      <c r="J190" s="10" t="str">
        <f t="shared" si="6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5"/>
        <v/>
      </c>
      <c r="J191" s="10" t="str">
        <f t="shared" si="6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5"/>
        <v/>
      </c>
      <c r="J192" s="10" t="str">
        <f t="shared" si="6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5"/>
        <v/>
      </c>
      <c r="J193" s="10" t="str">
        <f t="shared" si="6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5"/>
        <v/>
      </c>
      <c r="J194" s="10" t="str">
        <f t="shared" si="6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5"/>
        <v/>
      </c>
      <c r="J195" s="10" t="str">
        <f t="shared" si="6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5"/>
        <v/>
      </c>
      <c r="J196" s="10" t="str">
        <f t="shared" si="6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5"/>
        <v/>
      </c>
      <c r="J197" s="10" t="str">
        <f t="shared" si="6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5"/>
        <v/>
      </c>
      <c r="J198" s="10" t="str">
        <f t="shared" si="6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5"/>
        <v/>
      </c>
      <c r="J199" s="10" t="str">
        <f t="shared" si="6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5"/>
        <v/>
      </c>
      <c r="J200" s="10" t="str">
        <f t="shared" si="6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5"/>
        <v/>
      </c>
      <c r="J201" s="10" t="str">
        <f t="shared" si="6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5"/>
        <v/>
      </c>
      <c r="J202" s="10" t="str">
        <f t="shared" si="6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5"/>
        <v/>
      </c>
      <c r="J203" s="10" t="str">
        <f t="shared" si="6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ref="I204:I267" si="7">IF(SUM(B204:F204,H204)=0,"",SUM(B204:F204,H204))</f>
        <v/>
      </c>
      <c r="J204" s="10" t="str">
        <f t="shared" ref="J204:J267" si="8">IF(I204="","",1440-I204)</f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7"/>
        <v/>
      </c>
      <c r="J205" s="10" t="str">
        <f t="shared" si="8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7"/>
        <v/>
      </c>
      <c r="J206" s="10" t="str">
        <f t="shared" si="8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7"/>
        <v/>
      </c>
      <c r="J207" s="10" t="str">
        <f t="shared" si="8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7"/>
        <v/>
      </c>
      <c r="J208" s="10" t="str">
        <f t="shared" si="8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7"/>
        <v/>
      </c>
      <c r="J209" s="10" t="str">
        <f t="shared" si="8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7"/>
        <v/>
      </c>
      <c r="J210" s="10" t="str">
        <f t="shared" si="8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7"/>
        <v/>
      </c>
      <c r="J211" s="10" t="str">
        <f t="shared" si="8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7"/>
        <v/>
      </c>
      <c r="J212" s="10" t="str">
        <f t="shared" si="8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7"/>
        <v/>
      </c>
      <c r="J213" s="10" t="str">
        <f t="shared" si="8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7"/>
        <v/>
      </c>
      <c r="J214" s="10" t="str">
        <f t="shared" si="8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7"/>
        <v/>
      </c>
      <c r="J215" s="10" t="str">
        <f t="shared" si="8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7"/>
        <v/>
      </c>
      <c r="J216" s="10" t="str">
        <f t="shared" si="8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7"/>
        <v/>
      </c>
      <c r="J217" s="10" t="str">
        <f t="shared" si="8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7"/>
        <v/>
      </c>
      <c r="J218" s="10" t="str">
        <f t="shared" si="8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7"/>
        <v/>
      </c>
      <c r="J219" s="10" t="str">
        <f t="shared" si="8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7"/>
        <v/>
      </c>
      <c r="J220" s="10" t="str">
        <f t="shared" si="8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7"/>
        <v/>
      </c>
      <c r="J221" s="10" t="str">
        <f t="shared" si="8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7"/>
        <v/>
      </c>
      <c r="J222" s="10" t="str">
        <f t="shared" si="8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7"/>
        <v/>
      </c>
      <c r="J223" s="10" t="str">
        <f t="shared" si="8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7"/>
        <v/>
      </c>
      <c r="J224" s="10" t="str">
        <f t="shared" si="8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7"/>
        <v/>
      </c>
      <c r="J225" s="10" t="str">
        <f t="shared" si="8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7"/>
        <v/>
      </c>
      <c r="J226" s="10" t="str">
        <f t="shared" si="8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7"/>
        <v/>
      </c>
      <c r="J227" s="10" t="str">
        <f t="shared" si="8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7"/>
        <v/>
      </c>
      <c r="J228" s="10" t="str">
        <f t="shared" si="8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7"/>
        <v/>
      </c>
      <c r="J229" s="10" t="str">
        <f t="shared" si="8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7"/>
        <v/>
      </c>
      <c r="J230" s="10" t="str">
        <f t="shared" si="8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7"/>
        <v/>
      </c>
      <c r="J231" s="10" t="str">
        <f t="shared" si="8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7"/>
        <v/>
      </c>
      <c r="J232" s="10" t="str">
        <f t="shared" si="8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7"/>
        <v/>
      </c>
      <c r="J233" s="10" t="str">
        <f t="shared" si="8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7"/>
        <v/>
      </c>
      <c r="J234" s="10" t="str">
        <f t="shared" si="8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7"/>
        <v/>
      </c>
      <c r="J235" s="10" t="str">
        <f t="shared" si="8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7"/>
        <v/>
      </c>
      <c r="J236" s="10" t="str">
        <f t="shared" si="8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7"/>
        <v/>
      </c>
      <c r="J237" s="10" t="str">
        <f t="shared" si="8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7"/>
        <v/>
      </c>
      <c r="J238" s="10" t="str">
        <f t="shared" si="8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7"/>
        <v/>
      </c>
      <c r="J239" s="10" t="str">
        <f t="shared" si="8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7"/>
        <v/>
      </c>
      <c r="J240" s="10" t="str">
        <f t="shared" si="8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7"/>
        <v/>
      </c>
      <c r="J241" s="10" t="str">
        <f t="shared" si="8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7"/>
        <v/>
      </c>
      <c r="J242" s="10" t="str">
        <f t="shared" si="8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7"/>
        <v/>
      </c>
      <c r="J243" s="10" t="str">
        <f t="shared" si="8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7"/>
        <v/>
      </c>
      <c r="J244" s="10" t="str">
        <f t="shared" si="8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7"/>
        <v/>
      </c>
      <c r="J245" s="10" t="str">
        <f t="shared" si="8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7"/>
        <v/>
      </c>
      <c r="J246" s="10" t="str">
        <f t="shared" si="8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7"/>
        <v/>
      </c>
      <c r="J247" s="10" t="str">
        <f t="shared" si="8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7"/>
        <v/>
      </c>
      <c r="J248" s="10" t="str">
        <f t="shared" si="8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7"/>
        <v/>
      </c>
      <c r="J249" s="10" t="str">
        <f t="shared" si="8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7"/>
        <v/>
      </c>
      <c r="J250" s="10" t="str">
        <f t="shared" si="8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7"/>
        <v/>
      </c>
      <c r="J251" s="10" t="str">
        <f t="shared" si="8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7"/>
        <v/>
      </c>
      <c r="J252" s="10" t="str">
        <f t="shared" si="8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7"/>
        <v/>
      </c>
      <c r="J253" s="10" t="str">
        <f t="shared" si="8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7"/>
        <v/>
      </c>
      <c r="J254" s="10" t="str">
        <f t="shared" si="8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7"/>
        <v/>
      </c>
      <c r="J255" s="10" t="str">
        <f t="shared" si="8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7"/>
        <v/>
      </c>
      <c r="J256" s="10" t="str">
        <f t="shared" si="8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7"/>
        <v/>
      </c>
      <c r="J257" s="10" t="str">
        <f t="shared" si="8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7"/>
        <v/>
      </c>
      <c r="J258" s="10" t="str">
        <f t="shared" si="8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7"/>
        <v/>
      </c>
      <c r="J259" s="10" t="str">
        <f t="shared" si="8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7"/>
        <v/>
      </c>
      <c r="J260" s="10" t="str">
        <f t="shared" si="8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7"/>
        <v/>
      </c>
      <c r="J261" s="10" t="str">
        <f t="shared" si="8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7"/>
        <v/>
      </c>
      <c r="J262" s="10" t="str">
        <f t="shared" si="8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7"/>
        <v/>
      </c>
      <c r="J263" s="10" t="str">
        <f t="shared" si="8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7"/>
        <v/>
      </c>
      <c r="J264" s="10" t="str">
        <f t="shared" si="8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7"/>
        <v/>
      </c>
      <c r="J265" s="10" t="str">
        <f t="shared" si="8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7"/>
        <v/>
      </c>
      <c r="J266" s="10" t="str">
        <f t="shared" si="8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7"/>
        <v/>
      </c>
      <c r="J267" s="10" t="str">
        <f t="shared" si="8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ref="I268:I331" si="9">IF(SUM(B268:F268,H268)=0,"",SUM(B268:F268,H268))</f>
        <v/>
      </c>
      <c r="J268" s="10" t="str">
        <f t="shared" ref="J268:J331" si="10">IF(I268="","",1440-I268)</f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9"/>
        <v/>
      </c>
      <c r="J269" s="10" t="str">
        <f t="shared" si="10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9"/>
        <v/>
      </c>
      <c r="J270" s="10" t="str">
        <f t="shared" si="10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9"/>
        <v/>
      </c>
      <c r="J271" s="10" t="str">
        <f t="shared" si="10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9"/>
        <v/>
      </c>
      <c r="J272" s="10" t="str">
        <f t="shared" si="10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9"/>
        <v/>
      </c>
      <c r="J273" s="10" t="str">
        <f t="shared" si="10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9"/>
        <v/>
      </c>
      <c r="J274" s="10" t="str">
        <f t="shared" si="10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9"/>
        <v/>
      </c>
      <c r="J275" s="10" t="str">
        <f t="shared" si="10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9"/>
        <v/>
      </c>
      <c r="J276" s="10" t="str">
        <f t="shared" si="10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9"/>
        <v/>
      </c>
      <c r="J277" s="10" t="str">
        <f t="shared" si="10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9"/>
        <v/>
      </c>
      <c r="J278" s="10" t="str">
        <f t="shared" si="10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9"/>
        <v/>
      </c>
      <c r="J279" s="10" t="str">
        <f t="shared" si="10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9"/>
        <v/>
      </c>
      <c r="J280" s="10" t="str">
        <f t="shared" si="10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9"/>
        <v/>
      </c>
      <c r="J281" s="10" t="str">
        <f t="shared" si="10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9"/>
        <v/>
      </c>
      <c r="J282" s="10" t="str">
        <f t="shared" si="10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9"/>
        <v/>
      </c>
      <c r="J283" s="10" t="str">
        <f t="shared" si="10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9"/>
        <v/>
      </c>
      <c r="J284" s="10" t="str">
        <f t="shared" si="10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9"/>
        <v/>
      </c>
      <c r="J285" s="10" t="str">
        <f t="shared" si="10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9"/>
        <v/>
      </c>
      <c r="J286" s="10" t="str">
        <f t="shared" si="10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9"/>
        <v/>
      </c>
      <c r="J287" s="10" t="str">
        <f t="shared" si="10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9"/>
        <v/>
      </c>
      <c r="J288" s="10" t="str">
        <f t="shared" si="10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9"/>
        <v/>
      </c>
      <c r="J289" s="10" t="str">
        <f t="shared" si="10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9"/>
        <v/>
      </c>
      <c r="J290" s="10" t="str">
        <f t="shared" si="10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9"/>
        <v/>
      </c>
      <c r="J291" s="10" t="str">
        <f t="shared" si="10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9"/>
        <v/>
      </c>
      <c r="J292" s="10" t="str">
        <f t="shared" si="10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9"/>
        <v/>
      </c>
      <c r="J293" s="10" t="str">
        <f t="shared" si="10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9"/>
        <v/>
      </c>
      <c r="J294" s="10" t="str">
        <f t="shared" si="10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9"/>
        <v/>
      </c>
      <c r="J295" s="10" t="str">
        <f t="shared" si="10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9"/>
        <v/>
      </c>
      <c r="J296" s="10" t="str">
        <f t="shared" si="10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9"/>
        <v/>
      </c>
      <c r="J297" s="10" t="str">
        <f t="shared" si="10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9"/>
        <v/>
      </c>
      <c r="J298" s="10" t="str">
        <f t="shared" si="10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9"/>
        <v/>
      </c>
      <c r="J299" s="10" t="str">
        <f t="shared" si="10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9"/>
        <v/>
      </c>
      <c r="J300" s="10" t="str">
        <f t="shared" si="10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9"/>
        <v/>
      </c>
      <c r="J301" s="10" t="str">
        <f t="shared" si="10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9"/>
        <v/>
      </c>
      <c r="J302" s="10" t="str">
        <f t="shared" si="10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9"/>
        <v/>
      </c>
      <c r="J303" s="10" t="str">
        <f t="shared" si="10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9"/>
        <v/>
      </c>
      <c r="J304" s="10" t="str">
        <f t="shared" si="10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9"/>
        <v/>
      </c>
      <c r="J305" s="10" t="str">
        <f t="shared" si="10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9"/>
        <v/>
      </c>
      <c r="J306" s="10" t="str">
        <f t="shared" si="10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9"/>
        <v/>
      </c>
      <c r="J307" s="10" t="str">
        <f t="shared" si="10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9"/>
        <v/>
      </c>
      <c r="J308" s="10" t="str">
        <f t="shared" si="10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9"/>
        <v/>
      </c>
      <c r="J309" s="10" t="str">
        <f t="shared" si="10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9"/>
        <v/>
      </c>
      <c r="J310" s="10" t="str">
        <f t="shared" si="10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9"/>
        <v/>
      </c>
      <c r="J311" s="10" t="str">
        <f t="shared" si="10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9"/>
        <v/>
      </c>
      <c r="J312" s="10" t="str">
        <f t="shared" si="10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9"/>
        <v/>
      </c>
      <c r="J313" s="10" t="str">
        <f t="shared" si="10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9"/>
        <v/>
      </c>
      <c r="J314" s="10" t="str">
        <f t="shared" si="10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9"/>
        <v/>
      </c>
      <c r="J315" s="10" t="str">
        <f t="shared" si="10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9"/>
        <v/>
      </c>
      <c r="J316" s="10" t="str">
        <f t="shared" si="10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9"/>
        <v/>
      </c>
      <c r="J317" s="10" t="str">
        <f t="shared" si="10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9"/>
        <v/>
      </c>
      <c r="J318" s="10" t="str">
        <f t="shared" si="10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9"/>
        <v/>
      </c>
      <c r="J319" s="10" t="str">
        <f t="shared" si="10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9"/>
        <v/>
      </c>
      <c r="J320" s="10" t="str">
        <f t="shared" si="10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9"/>
        <v/>
      </c>
      <c r="J321" s="10" t="str">
        <f t="shared" si="10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9"/>
        <v/>
      </c>
      <c r="J322" s="10" t="str">
        <f t="shared" si="10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9"/>
        <v/>
      </c>
      <c r="J323" s="10" t="str">
        <f t="shared" si="10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9"/>
        <v/>
      </c>
      <c r="J324" s="10" t="str">
        <f t="shared" si="10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9"/>
        <v/>
      </c>
      <c r="J325" s="10" t="str">
        <f t="shared" si="10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9"/>
        <v/>
      </c>
      <c r="J326" s="10" t="str">
        <f t="shared" si="10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9"/>
        <v/>
      </c>
      <c r="J327" s="10" t="str">
        <f t="shared" si="10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9"/>
        <v/>
      </c>
      <c r="J328" s="10" t="str">
        <f t="shared" si="10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9"/>
        <v/>
      </c>
      <c r="J329" s="10" t="str">
        <f t="shared" si="10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9"/>
        <v/>
      </c>
      <c r="J330" s="10" t="str">
        <f t="shared" si="10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9"/>
        <v/>
      </c>
      <c r="J331" s="10" t="str">
        <f t="shared" si="10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ref="I332:I395" si="11">IF(SUM(B332:F332,H332)=0,"",SUM(B332:F332,H332))</f>
        <v/>
      </c>
      <c r="J332" s="10" t="str">
        <f t="shared" ref="J332:J395" si="12">IF(I332="","",1440-I332)</f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1"/>
        <v/>
      </c>
      <c r="J333" s="10" t="str">
        <f t="shared" si="12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1"/>
        <v/>
      </c>
      <c r="J334" s="10" t="str">
        <f t="shared" si="12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1"/>
        <v/>
      </c>
      <c r="J335" s="10" t="str">
        <f t="shared" si="12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1"/>
        <v/>
      </c>
      <c r="J336" s="10" t="str">
        <f t="shared" si="12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1"/>
        <v/>
      </c>
      <c r="J337" s="10" t="str">
        <f t="shared" si="12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1"/>
        <v/>
      </c>
      <c r="J338" s="10" t="str">
        <f t="shared" si="12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1"/>
        <v/>
      </c>
      <c r="J339" s="10" t="str">
        <f t="shared" si="12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1"/>
        <v/>
      </c>
      <c r="J340" s="10" t="str">
        <f t="shared" si="12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1"/>
        <v/>
      </c>
      <c r="J341" s="10" t="str">
        <f t="shared" si="12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1"/>
        <v/>
      </c>
      <c r="J342" s="10" t="str">
        <f t="shared" si="12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1"/>
        <v/>
      </c>
      <c r="J343" s="10" t="str">
        <f t="shared" si="12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1"/>
        <v/>
      </c>
      <c r="J344" s="10" t="str">
        <f t="shared" si="12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1"/>
        <v/>
      </c>
      <c r="J345" s="10" t="str">
        <f t="shared" si="12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1"/>
        <v/>
      </c>
      <c r="J346" s="10" t="str">
        <f t="shared" si="12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1"/>
        <v/>
      </c>
      <c r="J347" s="10" t="str">
        <f t="shared" si="12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1"/>
        <v/>
      </c>
      <c r="J348" s="10" t="str">
        <f t="shared" si="12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1"/>
        <v/>
      </c>
      <c r="J349" s="10" t="str">
        <f t="shared" si="12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1"/>
        <v/>
      </c>
      <c r="J350" s="10" t="str">
        <f t="shared" si="12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1"/>
        <v/>
      </c>
      <c r="J351" s="10" t="str">
        <f t="shared" si="12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1"/>
        <v/>
      </c>
      <c r="J352" s="10" t="str">
        <f t="shared" si="12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1"/>
        <v/>
      </c>
      <c r="J353" s="10" t="str">
        <f t="shared" si="12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1"/>
        <v/>
      </c>
      <c r="J354" s="10" t="str">
        <f t="shared" si="12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1"/>
        <v/>
      </c>
      <c r="J355" s="10" t="str">
        <f t="shared" si="12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1"/>
        <v/>
      </c>
      <c r="J356" s="10" t="str">
        <f t="shared" si="12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1"/>
        <v/>
      </c>
      <c r="J357" s="10" t="str">
        <f t="shared" si="12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1"/>
        <v/>
      </c>
      <c r="J358" s="10" t="str">
        <f t="shared" si="12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1"/>
        <v/>
      </c>
      <c r="J359" s="10" t="str">
        <f t="shared" si="12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1"/>
        <v/>
      </c>
      <c r="J360" s="10" t="str">
        <f t="shared" si="12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1"/>
        <v/>
      </c>
      <c r="J361" s="10" t="str">
        <f t="shared" si="12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1"/>
        <v/>
      </c>
      <c r="J362" s="10" t="str">
        <f t="shared" si="12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1"/>
        <v/>
      </c>
      <c r="J363" s="10" t="str">
        <f t="shared" si="12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1"/>
        <v/>
      </c>
      <c r="J364" s="10" t="str">
        <f t="shared" si="12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1"/>
        <v/>
      </c>
      <c r="J365" s="10" t="str">
        <f t="shared" si="12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1"/>
        <v/>
      </c>
      <c r="J366" s="10" t="str">
        <f t="shared" si="12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1"/>
        <v/>
      </c>
      <c r="J367" s="10" t="str">
        <f t="shared" si="12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1"/>
        <v/>
      </c>
      <c r="J368" s="10" t="str">
        <f t="shared" si="12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1"/>
        <v/>
      </c>
      <c r="J369" s="10" t="str">
        <f t="shared" si="12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1"/>
        <v/>
      </c>
      <c r="J370" s="10" t="str">
        <f t="shared" si="12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1"/>
        <v/>
      </c>
      <c r="J371" s="10" t="str">
        <f t="shared" si="12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1"/>
        <v/>
      </c>
      <c r="J372" s="10" t="str">
        <f t="shared" si="12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1"/>
        <v/>
      </c>
      <c r="J373" s="10" t="str">
        <f t="shared" si="12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1"/>
        <v/>
      </c>
      <c r="J374" s="10" t="str">
        <f t="shared" si="12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1"/>
        <v/>
      </c>
      <c r="J375" s="10" t="str">
        <f t="shared" si="12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1"/>
        <v/>
      </c>
      <c r="J376" s="10" t="str">
        <f t="shared" si="12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1"/>
        <v/>
      </c>
      <c r="J377" s="10" t="str">
        <f t="shared" si="12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1"/>
        <v/>
      </c>
      <c r="J378" s="10" t="str">
        <f t="shared" si="12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1"/>
        <v/>
      </c>
      <c r="J379" s="10" t="str">
        <f t="shared" si="12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1"/>
        <v/>
      </c>
      <c r="J380" s="10" t="str">
        <f t="shared" si="12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1"/>
        <v/>
      </c>
      <c r="J381" s="10" t="str">
        <f t="shared" si="12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1"/>
        <v/>
      </c>
      <c r="J382" s="10" t="str">
        <f t="shared" si="12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1"/>
        <v/>
      </c>
      <c r="J383" s="10" t="str">
        <f t="shared" si="12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1"/>
        <v/>
      </c>
      <c r="J384" s="10" t="str">
        <f t="shared" si="12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1"/>
        <v/>
      </c>
      <c r="J385" s="10" t="str">
        <f t="shared" si="12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1"/>
        <v/>
      </c>
      <c r="J386" s="10" t="str">
        <f t="shared" si="12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1"/>
        <v/>
      </c>
      <c r="J387" s="10" t="str">
        <f t="shared" si="12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1"/>
        <v/>
      </c>
      <c r="J388" s="10" t="str">
        <f t="shared" si="12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1"/>
        <v/>
      </c>
      <c r="J389" s="10" t="str">
        <f t="shared" si="12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1"/>
        <v/>
      </c>
      <c r="J390" s="10" t="str">
        <f t="shared" si="12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1"/>
        <v/>
      </c>
      <c r="J391" s="10" t="str">
        <f t="shared" si="12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1"/>
        <v/>
      </c>
      <c r="J392" s="10" t="str">
        <f t="shared" si="12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1"/>
        <v/>
      </c>
      <c r="J393" s="10" t="str">
        <f t="shared" si="12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1"/>
        <v/>
      </c>
      <c r="J394" s="10" t="str">
        <f t="shared" si="12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1"/>
        <v/>
      </c>
      <c r="J395" s="10" t="str">
        <f t="shared" si="12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ref="I396:I407" si="13">IF(SUM(B396:F396,H396)=0,"",SUM(B396:F396,H396))</f>
        <v/>
      </c>
      <c r="J396" s="10" t="str">
        <f t="shared" ref="J396:J407" si="14">IF(I396="","",1440-I396)</f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3"/>
        <v/>
      </c>
      <c r="J397" s="10" t="str">
        <f t="shared" si="14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3"/>
        <v/>
      </c>
      <c r="J398" s="10" t="str">
        <f t="shared" si="14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3"/>
        <v/>
      </c>
      <c r="J399" s="10" t="str">
        <f t="shared" si="14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3"/>
        <v/>
      </c>
      <c r="J400" s="10" t="str">
        <f t="shared" si="14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13"/>
        <v/>
      </c>
      <c r="J401" s="10" t="str">
        <f t="shared" si="14"/>
        <v/>
      </c>
      <c r="K401" s="11"/>
      <c r="L401" s="11"/>
      <c r="M401" s="11"/>
      <c r="N401" s="12"/>
    </row>
    <row r="402" spans="1:14" x14ac:dyDescent="0.3">
      <c r="A402" s="8"/>
      <c r="B402" s="9"/>
      <c r="C402" s="9"/>
      <c r="D402" s="9"/>
      <c r="E402" s="9"/>
      <c r="F402" s="9"/>
      <c r="G402" s="9"/>
      <c r="H402" s="9"/>
      <c r="I402" s="10" t="str">
        <f t="shared" si="13"/>
        <v/>
      </c>
      <c r="J402" s="10" t="str">
        <f t="shared" si="14"/>
        <v/>
      </c>
      <c r="K402" s="11"/>
      <c r="L402" s="11"/>
      <c r="M402" s="11"/>
      <c r="N402" s="12"/>
    </row>
    <row r="403" spans="1:14" x14ac:dyDescent="0.3">
      <c r="A403" s="8"/>
      <c r="B403" s="9"/>
      <c r="C403" s="9"/>
      <c r="D403" s="9"/>
      <c r="E403" s="9"/>
      <c r="F403" s="9"/>
      <c r="G403" s="9"/>
      <c r="H403" s="9"/>
      <c r="I403" s="10" t="str">
        <f t="shared" si="13"/>
        <v/>
      </c>
      <c r="J403" s="10" t="str">
        <f t="shared" si="14"/>
        <v/>
      </c>
      <c r="K403" s="11"/>
      <c r="L403" s="11"/>
      <c r="M403" s="11"/>
      <c r="N403" s="12"/>
    </row>
    <row r="404" spans="1:14" x14ac:dyDescent="0.3">
      <c r="A404" s="8"/>
      <c r="B404" s="9"/>
      <c r="C404" s="9"/>
      <c r="D404" s="9"/>
      <c r="E404" s="9"/>
      <c r="F404" s="9"/>
      <c r="G404" s="9"/>
      <c r="H404" s="9"/>
      <c r="I404" s="10" t="str">
        <f t="shared" si="13"/>
        <v/>
      </c>
      <c r="J404" s="10" t="str">
        <f t="shared" si="14"/>
        <v/>
      </c>
      <c r="K404" s="11"/>
      <c r="L404" s="11"/>
      <c r="M404" s="11"/>
      <c r="N404" s="12"/>
    </row>
    <row r="405" spans="1:14" x14ac:dyDescent="0.3">
      <c r="A405" s="8"/>
      <c r="B405" s="9"/>
      <c r="C405" s="9"/>
      <c r="D405" s="9"/>
      <c r="E405" s="9"/>
      <c r="F405" s="9"/>
      <c r="G405" s="9"/>
      <c r="H405" s="9"/>
      <c r="I405" s="10" t="str">
        <f t="shared" si="13"/>
        <v/>
      </c>
      <c r="J405" s="10" t="str">
        <f t="shared" si="14"/>
        <v/>
      </c>
      <c r="K405" s="11"/>
      <c r="L405" s="11"/>
      <c r="M405" s="11"/>
      <c r="N405" s="12"/>
    </row>
    <row r="406" spans="1:14" x14ac:dyDescent="0.3">
      <c r="A406" s="8"/>
      <c r="B406" s="9"/>
      <c r="C406" s="9"/>
      <c r="D406" s="9"/>
      <c r="E406" s="9"/>
      <c r="F406" s="9"/>
      <c r="G406" s="9"/>
      <c r="H406" s="9"/>
      <c r="I406" s="10" t="str">
        <f t="shared" si="13"/>
        <v/>
      </c>
      <c r="J406" s="10" t="str">
        <f t="shared" si="14"/>
        <v/>
      </c>
      <c r="K406" s="11"/>
      <c r="L406" s="11"/>
      <c r="M406" s="11"/>
      <c r="N406" s="12"/>
    </row>
    <row r="407" spans="1:14" x14ac:dyDescent="0.3">
      <c r="A407" s="8"/>
      <c r="B407" s="9"/>
      <c r="C407" s="9"/>
      <c r="D407" s="9"/>
      <c r="E407" s="9"/>
      <c r="F407" s="9"/>
      <c r="G407" s="9"/>
      <c r="H407" s="9"/>
      <c r="I407" s="10" t="str">
        <f t="shared" si="13"/>
        <v/>
      </c>
      <c r="J407" s="10" t="str">
        <f t="shared" si="14"/>
        <v/>
      </c>
      <c r="K407" s="11"/>
      <c r="L407" s="11"/>
      <c r="M407" s="11"/>
      <c r="N407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7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7" xr:uid="{00000000-0002-0000-0100-000000000000}">
      <formula1>"Excellent,Good,Neutral,Low,Stressed"</formula1>
      <formula2>0</formula2>
    </dataValidation>
    <dataValidation type="list" allowBlank="1" prompt="Select today's satisfaction level" sqref="L6:L407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7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Asish kumar Dash</cp:lastModifiedBy>
  <cp:revision>0</cp:revision>
  <dcterms:created xsi:type="dcterms:W3CDTF">2026-07-24T11:49:30Z</dcterms:created>
  <dcterms:modified xsi:type="dcterms:W3CDTF">2026-09-30T11:13:32Z</dcterms:modified>
  <dc:language>en-US</dc:language>
</cp:coreProperties>
</file>